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rul 6\VVSS\CheckLists\CheckLists\"/>
    </mc:Choice>
  </mc:AlternateContent>
  <xr:revisionPtr revIDLastSave="0" documentId="13_ncr:1_{B10D57CD-160E-4279-8427-675431E3C007}" xr6:coauthVersionLast="47" xr6:coauthVersionMax="47" xr10:uidLastSave="{00000000-0000-0000-0000-000000000000}"/>
  <bookViews>
    <workbookView xWindow="-110" yWindow="-110" windowWidth="19420" windowHeight="10300" tabRatio="650" firstSheet="1" activeTab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2" i="7" s="1"/>
  <c r="B13" i="7" s="1"/>
  <c r="B14" i="7" s="1"/>
  <c r="B15" i="7" s="1"/>
  <c r="B16" i="7" s="1"/>
  <c r="B9" i="5"/>
  <c r="B9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<sst xmlns="http://schemas.openxmlformats.org/spreadsheetml/2006/main" count="197" uniqueCount="136">
  <si>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</si>
  <si>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</si>
  <si>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</si>
  <si>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</si>
  <si>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</si>
  <si>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</si>
  <si>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</si>
  <si>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</si>
  <si>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</si>
  <si>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</si>
  <si>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</si>
  <si>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</si>
  <si>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</si>
  <si>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</si>
  <si>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</si>
  <si>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</si>
  <si>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</si>
  <si>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</si>
  <si>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</si>
  <si>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</si>
  <si>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</si>
  <si>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</si>
  <si>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</si>
  <si>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</si>
  <si>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</si>
  <si>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</si>
  <si>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</si>
  <si>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</si>
  <si>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</si>
  <si>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</si>
  <si>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</si>
  <si>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</si>
  <si>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R01</t>
  </si>
  <si>
    <t>R02</t>
  </si>
  <si>
    <t>R03</t>
  </si>
  <si>
    <t>R04</t>
  </si>
  <si>
    <t>R05</t>
  </si>
  <si>
    <t>R06</t>
  </si>
  <si>
    <t>R07</t>
  </si>
  <si>
    <t>Nu lipsesc categorii majore, ele exista dar sunt incomplet detaliate</t>
  </si>
  <si>
    <t>Logica coerenta, nu exista contradictii</t>
  </si>
  <si>
    <t>Nu se specifica daca aplicatia trebuie sa incarce date preexistente din fisier la pornire</t>
  </si>
  <si>
    <t>"calcul automat al conținutului" este vag. In mod normal, o comanda calculează un pret total sau necesarul de ingrediente. "Continutul" este un termen general.
       "actualizarea stocului" cand? La adaugarea in comanda sau la finalizare?</t>
  </si>
  <si>
    <t>Nu se specifica cine e userul (admin/vanzator)</t>
  </si>
  <si>
    <t>Mediul este clar: Java, JavaFX, Desktop, fisiere text/CSV.</t>
  </si>
  <si>
    <t>Filip Oana, Aileni Georgiana</t>
  </si>
  <si>
    <t>Aileni Georgiana</t>
  </si>
  <si>
    <t>Filip Oana</t>
  </si>
  <si>
    <t xml:space="preserve">Nu sunt specificate: validari(ce se intampla daca stocul e 0), reguli despre stergere a unui produs(ex: produs care apare in comenzi), care sunt rolurile in aplicatie </t>
  </si>
  <si>
    <t>0.5h</t>
  </si>
  <si>
    <t>A05</t>
  </si>
  <si>
    <t>A10</t>
  </si>
  <si>
    <t>Asigurarea in DrinkShopController un bloc try-catch general care prinde ValidationException si afiseaza un mesaj de tip Alert</t>
  </si>
  <si>
    <t>Relatia dintre Product-&gt;Reteta e esenetiala, asigurarea ca un produs nu poate fi vandut daca nu are o reteta definita sau ingredientele nu sunt in toc</t>
  </si>
  <si>
    <t>C06</t>
  </si>
  <si>
    <t>C01</t>
  </si>
  <si>
    <t>C02</t>
  </si>
  <si>
    <t>C04</t>
  </si>
  <si>
    <t>C07</t>
  </si>
  <si>
    <t>C09</t>
  </si>
  <si>
    <t>C12</t>
  </si>
  <si>
    <t>RetetaValidator</t>
  </si>
  <si>
    <t>FileStocRepo</t>
  </si>
  <si>
    <t>C05</t>
  </si>
  <si>
    <t>Service-uri</t>
  </si>
  <si>
    <t>Controller</t>
  </si>
  <si>
    <t>CsvExporter</t>
  </si>
  <si>
    <t>DrinkShopServ</t>
  </si>
  <si>
    <t>Stoc / Service</t>
  </si>
  <si>
    <t>Fluxul de executie nu se opreste dupa detectarea listei goale, ducand la crash in logica subsecventa.</t>
  </si>
  <si>
    <t>Validatoarele sunt implementate dar nu sunt apelate in serviciile CRUD inainte de salvare.</t>
  </si>
  <si>
    <t>Totalul comenzii poate fi inconsistent deoarece foloseste preturi live in loc de pretul de la momentul vanzarii.</t>
  </si>
  <si>
    <t>Lipsa return dupa verificarea listei nule; cauzeaza NullPointerException la apelul .stream().</t>
  </si>
  <si>
    <t>Mismatch intre scriere (double) si citire (int); Integer.parseInt va esua la valori cu punct.</t>
  </si>
  <si>
    <t>Lipsa tratarii exceptiilor la Double.parseDouble; orice input invalid va inchide aplicatia fortat.</t>
  </si>
  <si>
    <t>Confuzie in denumirea parametrilor: variabila numita stocServie primeste de fapt un Repository.</t>
  </si>
  <si>
    <t>Utilizare mixta int/double in constructor si metode, cauzand pierderi de precizie la castarea valorilor.</t>
  </si>
  <si>
    <t>FilipOana</t>
  </si>
  <si>
    <t>AbstractRepository&lt;ID, E&gt;</t>
  </si>
  <si>
    <t>AbstractRepository&lt;I, E&gt;</t>
  </si>
  <si>
    <t>Repository&lt;ID, E&gt;</t>
  </si>
  <si>
    <t>Repository&lt;I, E&gt;</t>
  </si>
  <si>
    <t>FileAbstractRepository&lt;ID, E&gt;</t>
  </si>
  <si>
    <t>FileAbstractRepository&lt;I, E&gt;</t>
  </si>
  <si>
    <t>System.err.println(...)</t>
  </si>
  <si>
    <t>throw new RepositoryException(...)</t>
  </si>
  <si>
    <t>e.printStackTrace()</t>
  </si>
  <si>
    <t>private CsvExporter() {}</t>
  </si>
  <si>
    <t>throw new ExportException(...)</t>
  </si>
  <si>
    <t>private ReceiptGenerator() {}</t>
  </si>
  <si>
    <t>filter(p1 -&gt; ...)</t>
  </si>
  <si>
    <t>Product not serializable</t>
  </si>
  <si>
    <t>Product implements Serializable</t>
  </si>
  <si>
    <t>.collect(Collectors.toList())</t>
  </si>
  <si>
    <t>.toList()</t>
  </si>
  <si>
    <t>areSuficient(reteta)</t>
  </si>
  <si>
    <t>AbstractRepository.java, 7</t>
  </si>
  <si>
    <t>AbstractRepository.java, 37</t>
  </si>
  <si>
    <t>Repository.java, 5</t>
  </si>
  <si>
    <t>CsvExporter.java, 13</t>
  </si>
  <si>
    <t>CsvExporter.java, 28</t>
  </si>
  <si>
    <t>ReceiptGenerator.java, 10</t>
  </si>
  <si>
    <t>ReceiptGenerator.java, 16</t>
  </si>
  <si>
    <t>Nume parametru generic invalid.</t>
  </si>
  <si>
    <t>Logica update identica cu save.</t>
  </si>
  <si>
    <t>entities.put(...)</t>
  </si>
  <si>
    <t>FileAbstractRepository.java, 7</t>
  </si>
  <si>
    <t>FileAbstractRepository.java, 12</t>
  </si>
  <si>
    <t>Vizibilitate constructor prea mare.</t>
  </si>
  <si>
    <t>public FileAbstractRepository</t>
  </si>
  <si>
    <t>protected FileAbstractRepository</t>
  </si>
  <si>
    <t>FileAbstractRepository.java, 20</t>
  </si>
  <si>
    <t>Bloc try imbricat complex.</t>
  </si>
  <si>
    <t>nested try in loadFromFile</t>
  </si>
  <si>
    <t>FileAbstractRepository.java, 27</t>
  </si>
  <si>
    <t>Utilizare System.err.</t>
  </si>
  <si>
    <t>FileAbstractRepository.java, 31</t>
  </si>
  <si>
    <t>Utilizare printStackTrace.</t>
  </si>
  <si>
    <t>FileProductRepository.java, 35</t>
  </si>
  <si>
    <t>Exceptie prea generica.</t>
  </si>
  <si>
    <t>throw new RuntimeException</t>
  </si>
  <si>
    <t>Lipsa constructor privat utilitar.</t>
  </si>
  <si>
    <t>(implicit public)</t>
  </si>
  <si>
    <t>Paranteze lambda inutile.</t>
  </si>
  <si>
    <t>filter((p1) -&gt; ...)</t>
  </si>
  <si>
    <t>OrderItem.java, 7</t>
  </si>
  <si>
    <t>Camp non-serializabil.</t>
  </si>
  <si>
    <t>ProductService.java, 39</t>
  </si>
  <si>
    <t>Colectare stream redundanta.</t>
  </si>
  <si>
    <t>StocService.java, 38</t>
  </si>
  <si>
    <t>Nume metoda boolean confuz.</t>
  </si>
  <si>
    <t>Check containsKey; return null daca nu exista.</t>
  </si>
  <si>
    <t>Extract in metoda processLine(String line).</t>
  </si>
  <si>
    <t>Invert logic sau rename isInsuficient.</t>
  </si>
  <si>
    <t>Effort to perform tool-based code analysis (hours):0.5</t>
  </si>
  <si>
    <t>SonarQube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</si>
</sst>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2" borderId="1" xfId="0" applyFont="1" applyFill="1" applyBorder="1"/>
    <xf numFmtId="0" fontId="8" fillId="4" borderId="1" xfId="0" applyFont="1" applyFill="1" applyBorder="1"/>
    <xf numFmtId="0" fontId="6" fillId="0" borderId="1" xfId="0" applyFont="1" applyBorder="1"/>
    <xf numFmtId="0" fontId="9" fillId="0" borderId="0" xfId="0" applyFont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8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right"/>
    </xf>
    <xf numFmtId="0" fontId="12" fillId="2" borderId="4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2" fillId="3" borderId="4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2" fillId="4" borderId="4" xfId="0" applyFont="1" applyFill="1" applyBorder="1" applyAlignment="1">
      <alignment horizontal="righ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5" fillId="0" borderId="6" xfId="0" applyFont="1" applyBorder="1"/>
    <xf numFmtId="0" fontId="16" fillId="0" borderId="7" xfId="0" applyFont="1" applyBorder="1"/>
    <xf numFmtId="0" fontId="16" fillId="0" borderId="7" xfId="0" applyFont="1" applyBorder="1" applyAlignment="1">
      <alignment wrapText="1"/>
    </xf>
    <xf numFmtId="0" fontId="15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17"/>
  <sheetViews>
    <sheetView topLeftCell="A14" workbookViewId="0">
      <selection activeCell="D20" sqref="D20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 x14ac:dyDescent="0.35">
      <c r="A1" s="4"/>
      <c r="B1" s="5" t="s">
        <v>3</v>
      </c>
      <c r="H1" s="22" t="s">
        <v>23</v>
      </c>
      <c r="I1" s="22"/>
      <c r="J1" s="22"/>
    </row>
    <row r="2" spans="1:10" x14ac:dyDescent="0.35">
      <c r="B2" s="23" t="s">
        <v>19</v>
      </c>
      <c r="C2" s="23"/>
      <c r="D2" s="23"/>
      <c r="E2" s="23"/>
      <c r="H2" s="3"/>
      <c r="I2" s="17" t="s">
        <v>30</v>
      </c>
      <c r="J2" s="15" t="s">
        <v>24</v>
      </c>
    </row>
    <row r="3" spans="1:10" x14ac:dyDescent="0.35">
      <c r="H3" s="15" t="s">
        <v>20</v>
      </c>
      <c r="I3" s="36" t="s">
        <v>46</v>
      </c>
      <c r="J3" s="15">
        <v>231</v>
      </c>
    </row>
    <row r="4" spans="1:10" x14ac:dyDescent="0.35">
      <c r="C4" s="13" t="s">
        <v>0</v>
      </c>
      <c r="D4" s="24" t="s">
        <v>14</v>
      </c>
      <c r="E4" s="24"/>
      <c r="H4" s="15" t="s">
        <v>21</v>
      </c>
      <c r="I4" s="36" t="s">
        <v>47</v>
      </c>
      <c r="J4" s="3">
        <v>233</v>
      </c>
    </row>
    <row r="5" spans="1:10" x14ac:dyDescent="0.35">
      <c r="C5" s="13" t="s">
        <v>9</v>
      </c>
      <c r="D5" s="25" t="s">
        <v>13</v>
      </c>
      <c r="E5" s="26"/>
      <c r="H5" s="15" t="s">
        <v>22</v>
      </c>
      <c r="I5" s="3"/>
      <c r="J5" s="3"/>
    </row>
    <row r="6" spans="1:10" x14ac:dyDescent="0.35">
      <c r="B6" s="8"/>
      <c r="C6" s="9" t="s">
        <v>2</v>
      </c>
      <c r="D6" s="21" t="s">
        <v>45</v>
      </c>
      <c r="E6" s="21"/>
    </row>
    <row r="7" spans="1:10" x14ac:dyDescent="0.35">
      <c r="C7" s="9" t="s">
        <v>1</v>
      </c>
      <c r="D7" s="28">
        <v>46084</v>
      </c>
      <c r="E7" s="21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8" x14ac:dyDescent="0.35">
      <c r="B10" s="3">
        <v>1</v>
      </c>
      <c r="C10" s="1" t="s">
        <v>32</v>
      </c>
      <c r="D10" s="2"/>
      <c r="E10" s="2" t="s">
        <v>48</v>
      </c>
    </row>
    <row r="11" spans="1:10" ht="29" x14ac:dyDescent="0.35">
      <c r="B11" s="3">
        <f>B10+1</f>
        <v>2</v>
      </c>
      <c r="C11" s="1" t="s">
        <v>33</v>
      </c>
      <c r="D11" s="2"/>
      <c r="E11" s="2" t="s">
        <v>39</v>
      </c>
    </row>
    <row r="12" spans="1:10" x14ac:dyDescent="0.35">
      <c r="B12" s="3">
        <f>B11+1</f>
        <v>3</v>
      </c>
      <c r="C12" s="1" t="s">
        <v>34</v>
      </c>
      <c r="D12" s="1"/>
      <c r="E12" s="2" t="s">
        <v>40</v>
      </c>
    </row>
    <row r="13" spans="1:10" ht="29" x14ac:dyDescent="0.35">
      <c r="B13" s="3">
        <f>B12+1</f>
        <v>4</v>
      </c>
      <c r="C13" s="1" t="s">
        <v>35</v>
      </c>
      <c r="D13" s="1"/>
      <c r="E13" s="2" t="s">
        <v>41</v>
      </c>
    </row>
    <row r="14" spans="1:10" ht="87" x14ac:dyDescent="0.35">
      <c r="B14" s="3">
        <f>B13+1</f>
        <v>5</v>
      </c>
      <c r="C14" s="1" t="s">
        <v>36</v>
      </c>
      <c r="D14" s="2"/>
      <c r="E14" s="2" t="s">
        <v>42</v>
      </c>
    </row>
    <row r="15" spans="1:10" x14ac:dyDescent="0.35">
      <c r="B15" s="3">
        <f>B14+1</f>
        <v>6</v>
      </c>
      <c r="C15" s="1" t="s">
        <v>37</v>
      </c>
      <c r="D15" s="1"/>
      <c r="E15" s="2" t="s">
        <v>43</v>
      </c>
    </row>
    <row r="16" spans="1:10" ht="29" x14ac:dyDescent="0.35">
      <c r="B16" s="3">
        <f>B15+1</f>
        <v>7</v>
      </c>
      <c r="C16" s="1" t="s">
        <v>38</v>
      </c>
      <c r="D16" s="2"/>
      <c r="E16" s="2" t="s">
        <v>44</v>
      </c>
    </row>
    <row r="17" spans="3:5" x14ac:dyDescent="0.35">
      <c r="C17" s="11" t="s">
        <v>8</v>
      </c>
      <c r="D17" s="12"/>
      <c r="E17" s="1" t="s">
        <v>49</v>
      </c>
    </row>
  </sheetData>
  <mergeCells count="6">
    <mergeCell ref="D7:E7"/>
    <mergeCell ref="H1:J1"/>
    <mergeCell ref="B2:E2"/>
    <mergeCell ref="D4:E4"/>
    <mergeCell ref="D6:E6"/>
    <mergeCell ref="D5:E5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14"/>
  <sheetViews>
    <sheetView topLeftCell="A6" workbookViewId="0">
      <selection activeCell="E16" sqref="E16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2.08984375" style="6" customWidth="1"/>
    <col min="10" max="16384" width="8.90625" style="6"/>
  </cols>
  <sheetData>
    <row r="1" spans="1:10" ht="15.5" x14ac:dyDescent="0.35">
      <c r="A1" s="4"/>
      <c r="B1" s="5" t="s">
        <v>3</v>
      </c>
      <c r="H1" s="22" t="s">
        <v>23</v>
      </c>
      <c r="I1" s="22"/>
      <c r="J1" s="22"/>
    </row>
    <row r="2" spans="1:10" x14ac:dyDescent="0.35">
      <c r="B2" s="23" t="s">
        <v>18</v>
      </c>
      <c r="C2" s="23"/>
      <c r="D2" s="23"/>
      <c r="E2" s="23"/>
      <c r="H2" s="3"/>
      <c r="I2" s="17" t="s">
        <v>30</v>
      </c>
      <c r="J2" s="15" t="s">
        <v>24</v>
      </c>
    </row>
    <row r="3" spans="1:10" x14ac:dyDescent="0.35">
      <c r="H3" s="15" t="s">
        <v>20</v>
      </c>
      <c r="I3" s="20" t="s">
        <v>46</v>
      </c>
      <c r="J3" s="15">
        <v>231</v>
      </c>
    </row>
    <row r="4" spans="1:10" x14ac:dyDescent="0.35">
      <c r="C4" s="7" t="s">
        <v>0</v>
      </c>
      <c r="D4" s="27" t="s">
        <v>15</v>
      </c>
      <c r="E4" s="27"/>
      <c r="H4" s="15" t="s">
        <v>21</v>
      </c>
      <c r="I4" s="20" t="s">
        <v>47</v>
      </c>
      <c r="J4" s="3">
        <v>233</v>
      </c>
    </row>
    <row r="5" spans="1:10" x14ac:dyDescent="0.35">
      <c r="C5" s="7" t="s">
        <v>10</v>
      </c>
      <c r="D5" s="29" t="s">
        <v>12</v>
      </c>
      <c r="E5" s="30"/>
      <c r="H5" s="15" t="s">
        <v>22</v>
      </c>
      <c r="I5" s="3"/>
      <c r="J5" s="3"/>
    </row>
    <row r="6" spans="1:10" x14ac:dyDescent="0.35">
      <c r="B6" s="8"/>
      <c r="C6" s="9" t="s">
        <v>2</v>
      </c>
      <c r="D6" s="21" t="s">
        <v>45</v>
      </c>
      <c r="E6" s="21"/>
    </row>
    <row r="7" spans="1:10" x14ac:dyDescent="0.35">
      <c r="C7" s="9" t="s">
        <v>1</v>
      </c>
      <c r="D7" s="28">
        <v>46084</v>
      </c>
      <c r="E7" s="21"/>
    </row>
    <row r="10" spans="1:10" x14ac:dyDescent="0.35">
      <c r="B10" s="37" t="s">
        <v>4</v>
      </c>
      <c r="C10" s="38" t="s">
        <v>5</v>
      </c>
      <c r="D10" s="38" t="s">
        <v>6</v>
      </c>
      <c r="E10" s="39" t="s">
        <v>7</v>
      </c>
    </row>
    <row r="11" spans="1:10" ht="43.5" x14ac:dyDescent="0.35">
      <c r="B11" s="40">
        <v>1</v>
      </c>
      <c r="C11" s="41" t="s">
        <v>50</v>
      </c>
      <c r="D11" s="41"/>
      <c r="E11" s="42" t="s">
        <v>52</v>
      </c>
    </row>
    <row r="12" spans="1:10" ht="58" x14ac:dyDescent="0.35">
      <c r="B12" s="40">
        <v>2</v>
      </c>
      <c r="C12" s="41" t="s">
        <v>51</v>
      </c>
      <c r="D12" s="41"/>
      <c r="E12" s="43" t="s">
        <v>53</v>
      </c>
    </row>
    <row r="14" spans="1:10" x14ac:dyDescent="0.35">
      <c r="C14" s="11" t="s">
        <v>8</v>
      </c>
      <c r="D14" s="12"/>
      <c r="E14" s="1" t="s">
        <v>49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20"/>
  <sheetViews>
    <sheetView tabSelected="1" topLeftCell="A6" workbookViewId="0">
      <selection activeCell="D23" sqref="D23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41.453125" style="6" customWidth="1"/>
    <col min="6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2" t="s">
        <v>23</v>
      </c>
      <c r="I1" s="22"/>
      <c r="J1" s="22"/>
    </row>
    <row r="2" spans="1:10" x14ac:dyDescent="0.35">
      <c r="B2" s="23" t="s">
        <v>17</v>
      </c>
      <c r="C2" s="23"/>
      <c r="D2" s="23"/>
      <c r="E2" s="23"/>
      <c r="H2" s="3"/>
      <c r="I2" s="17" t="s">
        <v>30</v>
      </c>
      <c r="J2" s="15" t="s">
        <v>24</v>
      </c>
    </row>
    <row r="3" spans="1:10" x14ac:dyDescent="0.35">
      <c r="H3" s="15" t="s">
        <v>20</v>
      </c>
      <c r="I3" s="36" t="s">
        <v>46</v>
      </c>
      <c r="J3" s="15">
        <v>231</v>
      </c>
    </row>
    <row r="4" spans="1:10" x14ac:dyDescent="0.35">
      <c r="C4" s="14" t="s">
        <v>0</v>
      </c>
      <c r="D4" s="31" t="s">
        <v>16</v>
      </c>
      <c r="E4" s="31"/>
      <c r="H4" s="15" t="s">
        <v>21</v>
      </c>
      <c r="I4" s="36" t="s">
        <v>77</v>
      </c>
      <c r="J4" s="3">
        <v>233</v>
      </c>
    </row>
    <row r="5" spans="1:10" x14ac:dyDescent="0.35">
      <c r="C5" s="14" t="s">
        <v>9</v>
      </c>
      <c r="D5" s="32" t="s">
        <v>11</v>
      </c>
      <c r="E5" s="33"/>
      <c r="H5" s="15" t="s">
        <v>22</v>
      </c>
      <c r="I5" s="3"/>
      <c r="J5" s="3"/>
    </row>
    <row r="6" spans="1:10" x14ac:dyDescent="0.35">
      <c r="B6" s="8"/>
      <c r="C6" s="9" t="s">
        <v>2</v>
      </c>
      <c r="D6" s="21" t="s">
        <v>45</v>
      </c>
      <c r="E6" s="21"/>
    </row>
    <row r="7" spans="1:10" x14ac:dyDescent="0.35">
      <c r="C7" s="9" t="s">
        <v>1</v>
      </c>
      <c r="D7" s="28">
        <v>46084</v>
      </c>
      <c r="E7" s="21"/>
    </row>
    <row r="9" spans="1:10" x14ac:dyDescent="0.35">
      <c r="B9" s="10" cm="1">
        <f t="array" aca="1" ref="B9" ca="1">+E10+B2:E9+B9:E18</f>
        <v>0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0</v>
      </c>
      <c r="C10" s="1" t="s">
        <v>5</v>
      </c>
      <c r="D10" s="2" t="s">
        <v>6</v>
      </c>
      <c r="E10" s="2" t="s">
        <v>7</v>
      </c>
    </row>
    <row r="11" spans="1:10" ht="43.5" x14ac:dyDescent="0.35">
      <c r="B11" s="3">
        <v>1</v>
      </c>
      <c r="C11" s="1" t="s">
        <v>55</v>
      </c>
      <c r="D11" s="1" t="s">
        <v>61</v>
      </c>
      <c r="E11" s="2" t="s">
        <v>72</v>
      </c>
    </row>
    <row r="12" spans="1:10" ht="43.5" x14ac:dyDescent="0.35">
      <c r="B12" s="3">
        <v>2</v>
      </c>
      <c r="C12" s="1" t="s">
        <v>56</v>
      </c>
      <c r="D12" s="1" t="s">
        <v>61</v>
      </c>
      <c r="E12" s="2" t="s">
        <v>69</v>
      </c>
    </row>
    <row r="13" spans="1:10" ht="29" x14ac:dyDescent="0.35">
      <c r="B13" s="3">
        <v>3</v>
      </c>
      <c r="C13" s="1" t="s">
        <v>57</v>
      </c>
      <c r="D13" s="2" t="s">
        <v>62</v>
      </c>
      <c r="E13" s="2" t="s">
        <v>73</v>
      </c>
    </row>
    <row r="14" spans="1:10" ht="29" x14ac:dyDescent="0.35">
      <c r="B14" s="3">
        <v>4</v>
      </c>
      <c r="C14" s="1" t="s">
        <v>63</v>
      </c>
      <c r="D14" s="2" t="s">
        <v>64</v>
      </c>
      <c r="E14" s="2" t="s">
        <v>70</v>
      </c>
    </row>
    <row r="15" spans="1:10" ht="29" x14ac:dyDescent="0.35">
      <c r="B15" s="3">
        <v>5</v>
      </c>
      <c r="C15" s="1" t="s">
        <v>54</v>
      </c>
      <c r="D15" s="2" t="s">
        <v>65</v>
      </c>
      <c r="E15" s="2" t="s">
        <v>74</v>
      </c>
    </row>
    <row r="16" spans="1:10" ht="43.5" x14ac:dyDescent="0.35">
      <c r="B16" s="3">
        <v>6</v>
      </c>
      <c r="C16" s="1" t="s">
        <v>58</v>
      </c>
      <c r="D16" s="2" t="s">
        <v>66</v>
      </c>
      <c r="E16" s="2" t="s">
        <v>71</v>
      </c>
    </row>
    <row r="17" spans="2:5" ht="43.5" x14ac:dyDescent="0.35">
      <c r="B17" s="3">
        <v>7</v>
      </c>
      <c r="C17" s="1" t="s">
        <v>59</v>
      </c>
      <c r="D17" s="2" t="s">
        <v>67</v>
      </c>
      <c r="E17" s="2" t="s">
        <v>75</v>
      </c>
    </row>
    <row r="18" spans="2:5" ht="43.5" x14ac:dyDescent="0.35">
      <c r="B18" s="3">
        <v>8</v>
      </c>
      <c r="C18" s="1" t="s">
        <v>60</v>
      </c>
      <c r="D18" s="2" t="s">
        <v>68</v>
      </c>
      <c r="E18" s="2" t="s">
        <v>76</v>
      </c>
    </row>
    <row r="20" spans="2:5" x14ac:dyDescent="0.35">
      <c r="C20" s="11" t="s">
        <v>8</v>
      </c>
      <c r="D20" s="12"/>
      <c r="E20" s="1">
        <v>0.5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0"/>
  <sheetViews>
    <sheetView workbookViewId="0">
      <selection activeCell="D28" sqref="D28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23.90625" style="6" customWidth="1"/>
    <col min="6" max="6" width="16.6328125" style="6" customWidth="1"/>
    <col min="7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2" t="s">
        <v>23</v>
      </c>
      <c r="I1" s="22"/>
      <c r="J1" s="22"/>
    </row>
    <row r="2" spans="1:10" x14ac:dyDescent="0.35">
      <c r="B2" s="23" t="s">
        <v>31</v>
      </c>
      <c r="C2" s="23"/>
      <c r="D2" s="23"/>
      <c r="E2" s="23"/>
      <c r="H2" s="3"/>
      <c r="I2" s="17" t="s">
        <v>30</v>
      </c>
      <c r="J2" s="15" t="s">
        <v>24</v>
      </c>
    </row>
    <row r="3" spans="1:10" x14ac:dyDescent="0.35">
      <c r="H3" s="15" t="s">
        <v>20</v>
      </c>
      <c r="I3" s="36" t="s">
        <v>46</v>
      </c>
      <c r="J3" s="15">
        <v>231</v>
      </c>
    </row>
    <row r="4" spans="1:10" x14ac:dyDescent="0.35">
      <c r="C4" s="14" t="s">
        <v>25</v>
      </c>
      <c r="D4" s="31" t="s">
        <v>135</v>
      </c>
      <c r="E4" s="31"/>
      <c r="H4" s="15" t="s">
        <v>21</v>
      </c>
      <c r="I4" s="36" t="s">
        <v>47</v>
      </c>
      <c r="J4" s="3">
        <v>233</v>
      </c>
    </row>
    <row r="5" spans="1:10" x14ac:dyDescent="0.35">
      <c r="C5" s="9" t="s">
        <v>2</v>
      </c>
      <c r="D5" s="21" t="s">
        <v>45</v>
      </c>
      <c r="E5" s="21"/>
      <c r="H5" s="15" t="s">
        <v>22</v>
      </c>
      <c r="I5" s="3"/>
      <c r="J5" s="3"/>
    </row>
    <row r="6" spans="1:10" x14ac:dyDescent="0.35">
      <c r="B6" s="8"/>
      <c r="C6" s="9" t="s">
        <v>1</v>
      </c>
      <c r="D6" s="28">
        <v>46084</v>
      </c>
      <c r="E6" s="21"/>
      <c r="F6" s="18"/>
    </row>
    <row r="9" spans="1:10" x14ac:dyDescent="0.35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29" x14ac:dyDescent="0.35">
      <c r="B10" s="3">
        <v>1</v>
      </c>
      <c r="C10" s="1" t="s">
        <v>96</v>
      </c>
      <c r="D10" s="2" t="s">
        <v>103</v>
      </c>
      <c r="E10" s="2" t="s">
        <v>78</v>
      </c>
      <c r="F10" s="2" t="s">
        <v>79</v>
      </c>
    </row>
    <row r="11" spans="1:10" ht="58" x14ac:dyDescent="0.35">
      <c r="B11" s="3">
        <v>2</v>
      </c>
      <c r="C11" s="1" t="s">
        <v>97</v>
      </c>
      <c r="D11" s="1" t="s">
        <v>104</v>
      </c>
      <c r="E11" s="2" t="s">
        <v>105</v>
      </c>
      <c r="F11" s="2" t="s">
        <v>131</v>
      </c>
    </row>
    <row r="12" spans="1:10" x14ac:dyDescent="0.35">
      <c r="B12" s="3">
        <v>3</v>
      </c>
      <c r="C12" s="1" t="s">
        <v>98</v>
      </c>
      <c r="D12" s="1" t="s">
        <v>103</v>
      </c>
      <c r="E12" s="2" t="s">
        <v>80</v>
      </c>
      <c r="F12" s="2" t="s">
        <v>81</v>
      </c>
    </row>
    <row r="13" spans="1:10" ht="29" x14ac:dyDescent="0.35">
      <c r="B13" s="3">
        <v>4</v>
      </c>
      <c r="C13" s="1" t="s">
        <v>106</v>
      </c>
      <c r="D13" s="2" t="s">
        <v>103</v>
      </c>
      <c r="E13" s="2" t="s">
        <v>82</v>
      </c>
      <c r="F13" s="2" t="s">
        <v>83</v>
      </c>
    </row>
    <row r="14" spans="1:10" ht="43.5" x14ac:dyDescent="0.35">
      <c r="B14" s="3">
        <v>5</v>
      </c>
      <c r="C14" s="1" t="s">
        <v>107</v>
      </c>
      <c r="D14" s="2" t="s">
        <v>108</v>
      </c>
      <c r="E14" s="2" t="s">
        <v>109</v>
      </c>
      <c r="F14" s="2" t="s">
        <v>110</v>
      </c>
    </row>
    <row r="15" spans="1:10" ht="43.5" x14ac:dyDescent="0.35">
      <c r="B15" s="3">
        <v>6</v>
      </c>
      <c r="C15" s="1" t="s">
        <v>111</v>
      </c>
      <c r="D15" s="2" t="s">
        <v>112</v>
      </c>
      <c r="E15" s="2" t="s">
        <v>113</v>
      </c>
      <c r="F15" s="2" t="s">
        <v>132</v>
      </c>
    </row>
    <row r="16" spans="1:10" ht="43.5" x14ac:dyDescent="0.35">
      <c r="B16" s="3">
        <v>7</v>
      </c>
      <c r="C16" s="1" t="s">
        <v>114</v>
      </c>
      <c r="D16" s="2" t="s">
        <v>115</v>
      </c>
      <c r="E16" s="2" t="s">
        <v>84</v>
      </c>
      <c r="F16" s="2" t="s">
        <v>85</v>
      </c>
    </row>
    <row r="17" spans="2:6" ht="43.5" x14ac:dyDescent="0.35">
      <c r="B17" s="3">
        <v>8</v>
      </c>
      <c r="C17" s="1" t="s">
        <v>116</v>
      </c>
      <c r="D17" s="2" t="s">
        <v>117</v>
      </c>
      <c r="E17" s="2" t="s">
        <v>86</v>
      </c>
      <c r="F17" s="2" t="s">
        <v>85</v>
      </c>
    </row>
    <row r="18" spans="2:6" ht="43.5" x14ac:dyDescent="0.35">
      <c r="B18" s="3">
        <v>9</v>
      </c>
      <c r="C18" s="1" t="s">
        <v>118</v>
      </c>
      <c r="D18" s="2" t="s">
        <v>119</v>
      </c>
      <c r="E18" s="2" t="s">
        <v>120</v>
      </c>
      <c r="F18" s="2" t="s">
        <v>85</v>
      </c>
    </row>
    <row r="19" spans="2:6" ht="29" x14ac:dyDescent="0.35">
      <c r="B19" s="3">
        <v>10</v>
      </c>
      <c r="C19" s="1" t="s">
        <v>99</v>
      </c>
      <c r="D19" s="1" t="s">
        <v>121</v>
      </c>
      <c r="E19" s="2" t="s">
        <v>122</v>
      </c>
      <c r="F19" s="2" t="s">
        <v>87</v>
      </c>
    </row>
    <row r="20" spans="2:6" ht="43.5" x14ac:dyDescent="0.35">
      <c r="B20" s="3">
        <v>11</v>
      </c>
      <c r="C20" s="1" t="s">
        <v>100</v>
      </c>
      <c r="D20" s="2" t="s">
        <v>119</v>
      </c>
      <c r="E20" s="2" t="s">
        <v>120</v>
      </c>
      <c r="F20" s="2" t="s">
        <v>88</v>
      </c>
    </row>
    <row r="21" spans="2:6" ht="43.5" x14ac:dyDescent="0.35">
      <c r="B21" s="3">
        <v>12</v>
      </c>
      <c r="C21" s="1" t="s">
        <v>101</v>
      </c>
      <c r="D21" s="1" t="s">
        <v>121</v>
      </c>
      <c r="E21" s="2" t="s">
        <v>122</v>
      </c>
      <c r="F21" s="2" t="s">
        <v>89</v>
      </c>
    </row>
    <row r="22" spans="2:6" ht="29" x14ac:dyDescent="0.35">
      <c r="B22" s="3">
        <v>13</v>
      </c>
      <c r="C22" s="1" t="s">
        <v>102</v>
      </c>
      <c r="D22" s="2" t="s">
        <v>123</v>
      </c>
      <c r="E22" s="2" t="s">
        <v>124</v>
      </c>
      <c r="F22" s="2" t="s">
        <v>90</v>
      </c>
    </row>
    <row r="23" spans="2:6" ht="43.5" x14ac:dyDescent="0.35">
      <c r="B23" s="3">
        <v>14</v>
      </c>
      <c r="C23" s="1" t="s">
        <v>125</v>
      </c>
      <c r="D23" s="2" t="s">
        <v>126</v>
      </c>
      <c r="E23" s="2" t="s">
        <v>91</v>
      </c>
      <c r="F23" s="2" t="s">
        <v>92</v>
      </c>
    </row>
    <row r="24" spans="2:6" ht="29" x14ac:dyDescent="0.35">
      <c r="B24" s="3">
        <v>15</v>
      </c>
      <c r="C24" s="1" t="s">
        <v>127</v>
      </c>
      <c r="D24" s="2" t="s">
        <v>128</v>
      </c>
      <c r="E24" s="2" t="s">
        <v>93</v>
      </c>
      <c r="F24" s="2" t="s">
        <v>94</v>
      </c>
    </row>
    <row r="25" spans="2:6" ht="43.5" x14ac:dyDescent="0.35">
      <c r="B25" s="3">
        <v>16</v>
      </c>
      <c r="C25" s="1" t="s">
        <v>129</v>
      </c>
      <c r="D25" s="2" t="s">
        <v>130</v>
      </c>
      <c r="E25" s="2" t="s">
        <v>95</v>
      </c>
      <c r="F25" s="2" t="s">
        <v>133</v>
      </c>
    </row>
    <row r="27" spans="2:6" x14ac:dyDescent="0.35">
      <c r="C27" s="34" t="s">
        <v>134</v>
      </c>
      <c r="D27" s="35"/>
      <c r="E27" s="35"/>
      <c r="F27" s="16"/>
    </row>
    <row r="30" spans="2:6" x14ac:dyDescent="0.35">
      <c r="F30" s="19"/>
    </row>
  </sheetData>
  <mergeCells count="6">
    <mergeCell ref="C27:E27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Oana Filip</cp:lastModifiedBy>
  <dcterms:created xsi:type="dcterms:W3CDTF">2015-02-21T15:59:19Z</dcterms:created>
  <dcterms:modified xsi:type="dcterms:W3CDTF">2026-03-03T22:28:56Z</dcterms:modified>
</cp:coreProperties>
</file>